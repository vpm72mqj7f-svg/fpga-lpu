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量驱动规模计算器" sheetId="1" state="visible" r:id="rId1"/>
    <sheet xmlns:r="http://schemas.openxmlformats.org/officeDocument/2006/relationships" name="场景对比" sheetId="2" state="visible" r:id="rId2"/>
    <sheet xmlns:r="http://schemas.openxmlformats.org/officeDocument/2006/relationships" name="Continuous Batching" sheetId="3" state="visible" r:id="rId3"/>
    <sheet xmlns:r="http://schemas.openxmlformats.org/officeDocument/2006/relationships" name="FPGA vs GPU vs NPU" sheetId="4" state="visible" r:id="rId4"/>
    <sheet xmlns:r="http://schemas.openxmlformats.org/officeDocument/2006/relationships" name="参考常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color rgb="002F5496"/>
      <sz val="12"/>
    </font>
    <font>
      <name val="Microsoft YaHei"/>
      <b val="1"/>
      <sz val="10"/>
    </font>
    <font>
      <name val="Microsoft YaHei"/>
      <sz val="10"/>
    </font>
    <font>
      <name val="Consolas"/>
      <sz val="10"/>
    </font>
    <font>
      <name val="Microsoft YaHei"/>
      <b val="1"/>
      <color rgb="00FFFFFF"/>
      <sz val="11"/>
    </font>
    <font>
      <name val="Microsoft YaHei"/>
      <color rgb="00666666"/>
      <sz val="9"/>
    </font>
    <font>
      <name val="Microsoft YaHei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FPGA 超节点规模计算器 — 按业务流量定义服务器数量</t>
        </is>
      </c>
    </row>
    <row r="2" ht="20" customHeight="1"/>
    <row r="3" ht="20" customHeight="1">
      <c r="A3" s="2" t="inlineStr">
        <is>
          <t>输入参数 (黄色单元格可修改)</t>
        </is>
      </c>
    </row>
    <row r="4" ht="20" customHeight="1"/>
    <row r="5" ht="20" customHeight="1">
      <c r="A5" s="3" t="inlineStr">
        <is>
          <t>并发会话数</t>
        </is>
      </c>
      <c r="B5" s="4" t="n">
        <v>1000</v>
      </c>
      <c r="C5" s="5" t="inlineStr">
        <is>
          <t>同时在线进行推理的会话数</t>
        </is>
      </c>
    </row>
    <row r="6" ht="20" customHeight="1">
      <c r="A6" s="3" t="inlineStr">
        <is>
          <t>上下文长度 (tokens)</t>
        </is>
      </c>
      <c r="B6" s="4" t="n">
        <v>262144</v>
      </c>
      <c r="C6" s="5" t="inlineStr">
        <is>
          <t>每会话 KV cache 窗口大小 (标配256K)</t>
        </is>
      </c>
    </row>
    <row r="7" ht="20" customHeight="1">
      <c r="A7" s="3" t="inlineStr">
        <is>
          <t>每用户目标 tok/s</t>
        </is>
      </c>
      <c r="B7" s="6" t="n">
        <v>30</v>
      </c>
      <c r="C7" s="5" t="inlineStr">
        <is>
          <t>保证每个会话的最低输出速率</t>
        </is>
      </c>
    </row>
    <row r="8" ht="20" customHeight="1">
      <c r="A8" s="3" t="inlineStr">
        <is>
          <t>突发系数</t>
        </is>
      </c>
      <c r="B8" s="7" t="n">
        <v>1.3</v>
      </c>
      <c r="C8" s="5" t="inlineStr">
        <is>
          <t>峰值/均值比,用于容量缓冲</t>
        </is>
      </c>
    </row>
    <row r="9" ht="20" customHeight="1">
      <c r="A9" s="3" t="inlineStr">
        <is>
          <t>服务器单价 (RMB)</t>
        </is>
      </c>
      <c r="B9" s="4" t="n">
        <v>1200000</v>
      </c>
      <c r="C9" s="5" t="inlineStr">
        <is>
          <t>每台 4U FPGA 服务器成本</t>
        </is>
      </c>
    </row>
    <row r="10" ht="20" customHeight="1">
      <c r="A10" s="3" t="inlineStr">
        <is>
          <t>每台功耗 (kW)</t>
        </is>
      </c>
      <c r="B10" s="7" t="n">
        <v>5.3</v>
      </c>
      <c r="C10" s="5" t="inlineStr">
        <is>
          <t>含 8 卡 x 4 芯片 + CPU + 散热</t>
        </is>
      </c>
    </row>
    <row r="11" ht="20" customHeight="1">
      <c r="A11" s="3" t="inlineStr">
        <is>
          <t>电费 (RMB/kWh)</t>
        </is>
      </c>
      <c r="B11" s="8" t="n">
        <v>0.8</v>
      </c>
      <c r="C11" s="5" t="inlineStr">
        <is>
          <t>数据中心电价</t>
        </is>
      </c>
    </row>
    <row r="12" ht="20" customHeight="1">
      <c r="A12" s="3" t="inlineStr">
        <is>
          <t>PUE</t>
        </is>
      </c>
      <c r="B12" s="7" t="n">
        <v>1.3</v>
      </c>
      <c r="C12" s="5" t="inlineStr">
        <is>
          <t>电源使用效率</t>
        </is>
      </c>
    </row>
    <row r="13" ht="20" customHeight="1"/>
    <row r="14" ht="20" customHeight="1"/>
    <row r="15" ht="20" customHeight="1">
      <c r="A15" s="2" t="inlineStr">
        <is>
          <t>中间计算</t>
        </is>
      </c>
    </row>
    <row r="16" ht="20" customHeight="1">
      <c r="A16" s="9" t="inlineStr">
        <is>
          <t>每 chip KV cache 可用 (GB)</t>
        </is>
      </c>
      <c r="B16" s="10">
        <f>31.3</f>
        <v/>
      </c>
    </row>
    <row r="17" ht="20" customHeight="1">
      <c r="A17" s="9" t="inlineStr">
        <is>
          <t>每 token 每层 KV 字节</t>
        </is>
      </c>
      <c r="B17" s="11">
        <f>576</f>
        <v/>
      </c>
    </row>
    <row r="18" ht="20" customHeight="1">
      <c r="A18" s="9" t="inlineStr">
        <is>
          <t>每会话 KV cache (GB)</t>
        </is>
      </c>
      <c r="B18" s="10">
        <f>B6*B17*61/1024^3</f>
        <v/>
      </c>
    </row>
    <row r="19" ht="20" customHeight="1">
      <c r="A19" s="9" t="inlineStr">
        <is>
          <t>每 chip 2 层 KV/会话 (GB)</t>
        </is>
      </c>
      <c r="B19" s="10">
        <f>B6*B17*2/1024^3</f>
        <v/>
      </c>
    </row>
    <row r="20" ht="20" customHeight="1">
      <c r="A20" s="9" t="inlineStr">
        <is>
          <t>显存约束: 每 chip 会话数</t>
        </is>
      </c>
      <c r="B20" s="11">
        <f>INT(B16/B19)</f>
        <v/>
      </c>
    </row>
    <row r="21" ht="20" customHeight="1">
      <c r="A21" s="9" t="inlineStr">
        <is>
          <t>算力约束: 每台会话数</t>
        </is>
      </c>
      <c r="B21" s="11">
        <f>INT(17445/B7)</f>
        <v/>
      </c>
    </row>
    <row r="22" ht="20" customHeight="1">
      <c r="A22" s="9" t="inlineStr">
        <is>
          <t>每台最大会话数</t>
        </is>
      </c>
      <c r="B22" s="11">
        <f>MIN(B20,B21)</f>
        <v/>
      </c>
    </row>
    <row r="23" ht="20" customHeight="1">
      <c r="A23" s="9" t="inlineStr">
        <is>
          <t>单台吞吐 (tok/s)</t>
        </is>
      </c>
      <c r="B23" s="11">
        <f>17445</f>
        <v/>
      </c>
    </row>
    <row r="24" ht="20" customHeight="1"/>
    <row r="25" ht="20" customHeight="1"/>
    <row r="26" ht="20" customHeight="1">
      <c r="A26" s="2" t="inlineStr">
        <is>
          <t>计算结果</t>
        </is>
      </c>
    </row>
    <row r="27" ht="20" customHeight="1"/>
    <row r="28" ht="20" customHeight="1">
      <c r="A28" s="9" t="inlineStr">
        <is>
          <t>会话并发需要 (台)</t>
        </is>
      </c>
      <c r="B28" s="12">
        <f>ROUNDUP(B5/B22,0)</f>
        <v/>
      </c>
    </row>
    <row r="29" ht="20" customHeight="1">
      <c r="A29" s="9" t="inlineStr">
        <is>
          <t>吞吐需要 (台)</t>
        </is>
      </c>
      <c r="B29" s="12">
        <f>ROUNDUP(B5*B7/B23,0)</f>
        <v/>
      </c>
    </row>
    <row r="30" ht="20" customHeight="1">
      <c r="A30" s="9" t="inlineStr">
        <is>
          <t>突发需要 (台)</t>
        </is>
      </c>
      <c r="B30" s="12">
        <f>ROUNDUP(B5*B8/B22,0)</f>
        <v/>
      </c>
    </row>
    <row r="31" ht="20" customHeight="1">
      <c r="A31" s="3">
        <f>&gt; 超节点服务器总数</f>
        <v/>
      </c>
      <c r="B31" s="13">
        <f>MAX(B28,B29,B30)</f>
        <v/>
      </c>
    </row>
    <row r="32" ht="20" customHeight="1">
      <c r="A32" s="3">
        <f>&gt; 所需机柜数 (9台/柜)</f>
        <v/>
      </c>
      <c r="B32" s="13">
        <f>ROUNDUP(B31/9,0)</f>
        <v/>
      </c>
    </row>
    <row r="33" ht="20" customHeight="1"/>
    <row r="34" ht="20" customHeight="1">
      <c r="A34" s="9" t="inlineStr">
        <is>
          <t>总吞吐 (tok/s)</t>
        </is>
      </c>
      <c r="B34" s="12">
        <f>B31*B23</f>
        <v/>
      </c>
    </row>
    <row r="35" ht="20" customHeight="1">
      <c r="A35" s="9" t="inlineStr">
        <is>
          <t>每用户实际 tok/s</t>
        </is>
      </c>
      <c r="B35" s="12">
        <f>B34/B5</f>
        <v/>
      </c>
    </row>
    <row r="36" ht="20" customHeight="1">
      <c r="A36" s="9" t="inlineStr">
        <is>
          <t>DSP 利用率</t>
        </is>
      </c>
      <c r="B36" s="12">
        <f>B5*B7/B34</f>
        <v/>
      </c>
    </row>
    <row r="37" ht="20" customHeight="1">
      <c r="A37" s="9" t="inlineStr">
        <is>
          <t>富余会话数</t>
        </is>
      </c>
      <c r="B37" s="12">
        <f>B31*B22-B5</f>
        <v/>
      </c>
    </row>
    <row r="38" ht="20" customHeight="1">
      <c r="A38" s="9" t="inlineStr">
        <is>
          <t>KV Cache 总量 (GB)</t>
        </is>
      </c>
      <c r="B38" s="12">
        <f>B18*B5</f>
        <v/>
      </c>
    </row>
    <row r="39" ht="20" customHeight="1"/>
    <row r="40" ht="20" customHeight="1">
      <c r="A40" s="9" t="inlineStr">
        <is>
          <t>服务器 CAPEX (RMB)</t>
        </is>
      </c>
      <c r="B40" s="12">
        <f>B31*B9</f>
        <v/>
      </c>
    </row>
    <row r="41" ht="20" customHeight="1">
      <c r="A41" s="9" t="inlineStr">
        <is>
          <t>年电费 (RMB)</t>
        </is>
      </c>
      <c r="B41" s="12">
        <f>B31*B10*8760*B11*B12</f>
        <v/>
      </c>
    </row>
    <row r="42" ht="20" customHeight="1">
      <c r="A42" s="9" t="inlineStr">
        <is>
          <t>年运维 (RMB)</t>
        </is>
      </c>
      <c r="B42" s="12">
        <f>B40*0.05</f>
        <v/>
      </c>
    </row>
    <row r="43" ht="20" customHeight="1">
      <c r="A43" s="9" t="inlineStr">
        <is>
          <t>年 OPEX (RMB)</t>
        </is>
      </c>
      <c r="B43" s="12">
        <f>B41+B42</f>
        <v/>
      </c>
    </row>
    <row r="44" ht="20" customHeight="1">
      <c r="A44" s="9" t="inlineStr">
        <is>
          <t>5 年 TCO (RMB)</t>
        </is>
      </c>
      <c r="B44" s="12">
        <f>B40+B43*5</f>
        <v/>
      </c>
    </row>
    <row r="45" ht="20" customHeight="1">
      <c r="A45" s="9" t="inlineStr">
        <is>
          <t>每会话/年成本 (RMB)</t>
        </is>
      </c>
      <c r="B45" s="12">
        <f>B44/5/B5</f>
        <v/>
      </c>
    </row>
    <row r="46" ht="20" customHeight="1">
      <c r="A46" s="9" t="inlineStr">
        <is>
          <t>每百万 token 成本 (RMB)</t>
        </is>
      </c>
      <c r="B46" s="12">
        <f>B45/365/86400/B7*1e6</f>
        <v/>
      </c>
    </row>
    <row r="47" ht="20" customHeight="1"/>
    <row r="48" ht="20" customHeight="1"/>
    <row r="49" ht="20" customHeight="1"/>
    <row r="50" ht="20" customHeight="1">
      <c r="A50" s="2" t="inlineStr">
        <is>
          <t>上下文长度灵敏度分析</t>
        </is>
      </c>
    </row>
    <row r="51" ht="20" customHeight="1"/>
    <row r="52" ht="20" customHeight="1">
      <c r="A52" s="14" t="inlineStr">
        <is>
          <t>上下文长度</t>
        </is>
      </c>
      <c r="B52" s="14" t="inlineStr">
        <is>
          <t>会话/台</t>
        </is>
      </c>
      <c r="C52" s="14" t="inlineStr">
        <is>
          <t>约束</t>
        </is>
      </c>
      <c r="D52" s="14" t="inlineStr">
        <is>
          <t>500并发需几台</t>
        </is>
      </c>
      <c r="E52" s="14" t="inlineStr">
        <is>
          <t>1000并发</t>
        </is>
      </c>
      <c r="F52" s="14" t="inlineStr">
        <is>
          <t>5000并发</t>
        </is>
      </c>
      <c r="G52" s="14" t="inlineStr">
        <is>
          <t>10000并发</t>
        </is>
      </c>
      <c r="H52" s="14" t="inlineStr">
        <is>
          <t>50000并发</t>
        </is>
      </c>
    </row>
    <row r="53" ht="20" customHeight="1">
      <c r="A53" s="15" t="inlineStr">
        <is>
          <t>4K</t>
        </is>
      </c>
      <c r="B53" s="11" t="n">
        <v>581</v>
      </c>
      <c r="C53" s="15" t="inlineStr">
        <is>
          <t>算力</t>
        </is>
      </c>
      <c r="D53" s="11" t="n">
        <v>1</v>
      </c>
      <c r="E53" s="11" t="n">
        <v>2</v>
      </c>
      <c r="F53" s="11" t="n">
        <v>9</v>
      </c>
      <c r="G53" s="11" t="n">
        <v>18</v>
      </c>
      <c r="H53" s="11" t="n">
        <v>87</v>
      </c>
    </row>
    <row r="54" ht="20" customHeight="1">
      <c r="A54" s="15" t="inlineStr">
        <is>
          <t>8K</t>
        </is>
      </c>
      <c r="B54" s="11" t="n">
        <v>581</v>
      </c>
      <c r="C54" s="15" t="inlineStr">
        <is>
          <t>算力</t>
        </is>
      </c>
      <c r="D54" s="11" t="n">
        <v>1</v>
      </c>
      <c r="E54" s="11" t="n">
        <v>2</v>
      </c>
      <c r="F54" s="11" t="n">
        <v>9</v>
      </c>
      <c r="G54" s="11" t="n">
        <v>18</v>
      </c>
      <c r="H54" s="11" t="n">
        <v>87</v>
      </c>
    </row>
    <row r="55" ht="20" customHeight="1">
      <c r="A55" s="15" t="inlineStr">
        <is>
          <t>16K</t>
        </is>
      </c>
      <c r="B55" s="11" t="n">
        <v>581</v>
      </c>
      <c r="C55" s="15" t="inlineStr">
        <is>
          <t>算力</t>
        </is>
      </c>
      <c r="D55" s="11" t="n">
        <v>1</v>
      </c>
      <c r="E55" s="11" t="n">
        <v>2</v>
      </c>
      <c r="F55" s="11" t="n">
        <v>9</v>
      </c>
      <c r="G55" s="11" t="n">
        <v>18</v>
      </c>
      <c r="H55" s="11" t="n">
        <v>87</v>
      </c>
    </row>
    <row r="56" ht="20" customHeight="1">
      <c r="A56" s="15" t="inlineStr">
        <is>
          <t>32K</t>
        </is>
      </c>
      <c r="B56" s="11" t="n">
        <v>581</v>
      </c>
      <c r="C56" s="15" t="inlineStr">
        <is>
          <t>算力</t>
        </is>
      </c>
      <c r="D56" s="11" t="n">
        <v>1</v>
      </c>
      <c r="E56" s="11" t="n">
        <v>2</v>
      </c>
      <c r="F56" s="11" t="n">
        <v>9</v>
      </c>
      <c r="G56" s="11" t="n">
        <v>18</v>
      </c>
      <c r="H56" s="11" t="n">
        <v>87</v>
      </c>
    </row>
    <row r="57" ht="20" customHeight="1">
      <c r="A57" s="15" t="inlineStr">
        <is>
          <t>64K</t>
        </is>
      </c>
      <c r="B57" s="11" t="n">
        <v>445</v>
      </c>
      <c r="C57" s="15" t="inlineStr">
        <is>
          <t>显存</t>
        </is>
      </c>
      <c r="D57" s="11" t="n">
        <v>2</v>
      </c>
      <c r="E57" s="11" t="n">
        <v>3</v>
      </c>
      <c r="F57" s="11" t="n">
        <v>12</v>
      </c>
      <c r="G57" s="11" t="n">
        <v>23</v>
      </c>
      <c r="H57" s="11" t="n">
        <v>113</v>
      </c>
    </row>
    <row r="58" ht="20" customHeight="1">
      <c r="A58" s="15" t="inlineStr">
        <is>
          <t>128K</t>
        </is>
      </c>
      <c r="B58" s="11" t="n">
        <v>222</v>
      </c>
      <c r="C58" s="15" t="inlineStr">
        <is>
          <t>显存</t>
        </is>
      </c>
      <c r="D58" s="11" t="n">
        <v>3</v>
      </c>
      <c r="E58" s="11" t="n">
        <v>5</v>
      </c>
      <c r="F58" s="11" t="n">
        <v>23</v>
      </c>
      <c r="G58" s="11" t="n">
        <v>46</v>
      </c>
      <c r="H58" s="11" t="n">
        <v>226</v>
      </c>
    </row>
    <row r="59" ht="20" customHeight="1">
      <c r="A59" s="15" t="inlineStr">
        <is>
          <t>256K</t>
        </is>
      </c>
      <c r="B59" s="11" t="n">
        <v>111</v>
      </c>
      <c r="C59" s="15" t="inlineStr">
        <is>
          <t>显存</t>
        </is>
      </c>
      <c r="D59" s="11" t="n">
        <v>5</v>
      </c>
      <c r="E59" s="11" t="n">
        <v>10</v>
      </c>
      <c r="F59" s="11" t="n">
        <v>46</v>
      </c>
      <c r="G59" s="11" t="n">
        <v>91</v>
      </c>
      <c r="H59" s="11" t="n">
        <v>451</v>
      </c>
    </row>
  </sheetData>
  <mergeCells count="5">
    <mergeCell ref="A50:H50"/>
    <mergeCell ref="A26:H26"/>
    <mergeCell ref="A3:H3"/>
    <mergeCell ref="A15:H15"/>
    <mergeCell ref="A1:H1"/>
  </mergeCells>
  <conditionalFormatting sqref="D53:H59">
    <cfRule type="dataBar" priority="1">
      <dataBar showValue="1">
        <cfvo type="min"/>
        <cfvo type="max"/>
        <color rgb="002F549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8" customWidth="1" min="7" max="7"/>
    <col width="10" customWidth="1" min="8" max="8"/>
    <col width="8" customWidth="1" min="9" max="9"/>
    <col width="16" customWidth="1" min="10" max="10"/>
    <col width="12" customWidth="1" min="11" max="11"/>
    <col width="12" customWidth="1" min="12" max="12"/>
    <col width="14" customWidth="1" min="13" max="13"/>
    <col width="16" customWidth="1" min="14" max="14"/>
    <col width="16" customWidth="1" min="15" max="15"/>
  </cols>
  <sheetData>
    <row r="1" ht="22" customHeight="1">
      <c r="A1" s="1" t="inlineStr">
        <is>
          <t>典型业务场景对比 — 按流量定义超节点规模</t>
        </is>
      </c>
    </row>
    <row r="2" ht="22" customHeight="1"/>
    <row r="3" ht="22" customHeight="1">
      <c r="A3" s="14" t="inlineStr">
        <is>
          <t>场景</t>
        </is>
      </c>
      <c r="B3" s="14" t="inlineStr">
        <is>
          <t>并发会话</t>
        </is>
      </c>
      <c r="C3" s="14" t="inlineStr">
        <is>
          <t>上下文(K)</t>
        </is>
      </c>
      <c r="D3" s="14" t="inlineStr">
        <is>
          <t>目标tok/s</t>
        </is>
      </c>
      <c r="E3" s="14" t="inlineStr">
        <is>
          <t>突发系数</t>
        </is>
      </c>
      <c r="F3" s="14" t="inlineStr">
        <is>
          <t>会话/台</t>
        </is>
      </c>
      <c r="G3" s="14" t="inlineStr">
        <is>
          <t>约束</t>
        </is>
      </c>
      <c r="H3" s="14" t="inlineStr">
        <is>
          <t>需服务器</t>
        </is>
      </c>
      <c r="I3" s="14" t="inlineStr">
        <is>
          <t>需机柜</t>
        </is>
      </c>
      <c r="J3" s="14" t="inlineStr">
        <is>
          <t>总吞吐(tok/s)</t>
        </is>
      </c>
      <c r="K3" s="14" t="inlineStr">
        <is>
          <t>每用户TPS</t>
        </is>
      </c>
      <c r="L3" s="14" t="inlineStr">
        <is>
          <t>DSP利用率</t>
        </is>
      </c>
      <c r="M3" s="14" t="inlineStr">
        <is>
          <t>5年TCO(万)</t>
        </is>
      </c>
      <c r="N3" s="14" t="inlineStr">
        <is>
          <t>每会话/年(元)</t>
        </is>
      </c>
      <c r="O3" s="14" t="inlineStr">
        <is>
          <t>每百万token(元)</t>
        </is>
      </c>
    </row>
    <row r="4" ht="22" customHeight="1">
      <c r="A4" s="15" t="inlineStr">
        <is>
          <t>PoC 验证</t>
        </is>
      </c>
      <c r="B4" s="15" t="n">
        <v>200</v>
      </c>
      <c r="C4" s="15" t="inlineStr">
        <is>
          <t>256K</t>
        </is>
      </c>
      <c r="D4" s="15" t="n">
        <v>30</v>
      </c>
      <c r="E4" s="15" t="inlineStr">
        <is>
          <t>1.3x</t>
        </is>
      </c>
      <c r="F4" s="15" t="n">
        <v>111</v>
      </c>
      <c r="G4" s="15" t="inlineStr">
        <is>
          <t>显存</t>
        </is>
      </c>
      <c r="H4" s="16" t="n">
        <v>3</v>
      </c>
      <c r="I4" s="15" t="n">
        <v>1</v>
      </c>
      <c r="J4" s="15" t="inlineStr">
        <is>
          <t>52,335</t>
        </is>
      </c>
      <c r="K4" s="15" t="inlineStr">
        <is>
          <t>262</t>
        </is>
      </c>
      <c r="L4" s="15" t="inlineStr">
        <is>
          <t>11.5%</t>
        </is>
      </c>
      <c r="M4" s="15" t="inlineStr">
        <is>
          <t>332</t>
        </is>
      </c>
      <c r="N4" s="15" t="inlineStr">
        <is>
          <t>3317</t>
        </is>
      </c>
      <c r="O4" s="15" t="inlineStr">
        <is>
          <t>3.51</t>
        </is>
      </c>
    </row>
    <row r="5" ht="22" customHeight="1">
      <c r="A5" s="15" t="inlineStr">
        <is>
          <t>小规模云</t>
        </is>
      </c>
      <c r="B5" s="15" t="n">
        <v>1000</v>
      </c>
      <c r="C5" s="15" t="inlineStr">
        <is>
          <t>256K</t>
        </is>
      </c>
      <c r="D5" s="15" t="n">
        <v>30</v>
      </c>
      <c r="E5" s="15" t="inlineStr">
        <is>
          <t>1.3x</t>
        </is>
      </c>
      <c r="F5" s="15" t="n">
        <v>111</v>
      </c>
      <c r="G5" s="15" t="inlineStr">
        <is>
          <t>显存</t>
        </is>
      </c>
      <c r="H5" s="16" t="n">
        <v>12</v>
      </c>
      <c r="I5" s="15" t="n">
        <v>2</v>
      </c>
      <c r="J5" s="15" t="inlineStr">
        <is>
          <t>209,340</t>
        </is>
      </c>
      <c r="K5" s="15" t="inlineStr">
        <is>
          <t>209</t>
        </is>
      </c>
      <c r="L5" s="15" t="inlineStr">
        <is>
          <t>14.3%</t>
        </is>
      </c>
      <c r="M5" s="15" t="inlineStr">
        <is>
          <t>1327</t>
        </is>
      </c>
      <c r="N5" s="15" t="inlineStr">
        <is>
          <t>2653</t>
        </is>
      </c>
      <c r="O5" s="15" t="inlineStr">
        <is>
          <t>2.80</t>
        </is>
      </c>
    </row>
    <row r="6" ht="22" customHeight="1">
      <c r="A6" s="15" t="inlineStr">
        <is>
          <t>中规模云</t>
        </is>
      </c>
      <c r="B6" s="15" t="n">
        <v>5000</v>
      </c>
      <c r="C6" s="15" t="inlineStr">
        <is>
          <t>256K</t>
        </is>
      </c>
      <c r="D6" s="15" t="n">
        <v>30</v>
      </c>
      <c r="E6" s="15" t="inlineStr">
        <is>
          <t>1.3x</t>
        </is>
      </c>
      <c r="F6" s="15" t="n">
        <v>111</v>
      </c>
      <c r="G6" s="15" t="inlineStr">
        <is>
          <t>显存</t>
        </is>
      </c>
      <c r="H6" s="16" t="n">
        <v>59</v>
      </c>
      <c r="I6" s="15" t="n">
        <v>7</v>
      </c>
      <c r="J6" s="15" t="inlineStr">
        <is>
          <t>1,029,255</t>
        </is>
      </c>
      <c r="K6" s="15" t="inlineStr">
        <is>
          <t>206</t>
        </is>
      </c>
      <c r="L6" s="15" t="inlineStr">
        <is>
          <t>14.6%</t>
        </is>
      </c>
      <c r="M6" s="15" t="inlineStr">
        <is>
          <t>6523</t>
        </is>
      </c>
      <c r="N6" s="15" t="inlineStr">
        <is>
          <t>2609</t>
        </is>
      </c>
      <c r="O6" s="15" t="inlineStr">
        <is>
          <t>2.76</t>
        </is>
      </c>
    </row>
    <row r="7" ht="22" customHeight="1">
      <c r="A7" s="15" t="inlineStr">
        <is>
          <t>大规模云</t>
        </is>
      </c>
      <c r="B7" s="15" t="n">
        <v>20000</v>
      </c>
      <c r="C7" s="15" t="inlineStr">
        <is>
          <t>256K</t>
        </is>
      </c>
      <c r="D7" s="15" t="n">
        <v>30</v>
      </c>
      <c r="E7" s="15" t="inlineStr">
        <is>
          <t>1.3x</t>
        </is>
      </c>
      <c r="F7" s="15" t="n">
        <v>111</v>
      </c>
      <c r="G7" s="15" t="inlineStr">
        <is>
          <t>显存</t>
        </is>
      </c>
      <c r="H7" s="16" t="n">
        <v>235</v>
      </c>
      <c r="I7" s="15" t="n">
        <v>27</v>
      </c>
      <c r="J7" s="15" t="inlineStr">
        <is>
          <t>4,099,575</t>
        </is>
      </c>
      <c r="K7" s="15" t="inlineStr">
        <is>
          <t>205</t>
        </is>
      </c>
      <c r="L7" s="15" t="inlineStr">
        <is>
          <t>14.6%</t>
        </is>
      </c>
      <c r="M7" s="15" t="inlineStr">
        <is>
          <t>25982</t>
        </is>
      </c>
      <c r="N7" s="15" t="inlineStr">
        <is>
          <t>2598</t>
        </is>
      </c>
      <c r="O7" s="15" t="inlineStr">
        <is>
          <t>2.75</t>
        </is>
      </c>
    </row>
    <row r="8" ht="22" customHeight="1">
      <c r="A8" s="15" t="inlineStr">
        <is>
          <t>DeepSeek 公开服务量级</t>
        </is>
      </c>
      <c r="B8" s="15" t="n">
        <v>100000</v>
      </c>
      <c r="C8" s="15" t="inlineStr">
        <is>
          <t>128K</t>
        </is>
      </c>
      <c r="D8" s="15" t="n">
        <v>25</v>
      </c>
      <c r="E8" s="15" t="inlineStr">
        <is>
          <t>1.5x</t>
        </is>
      </c>
      <c r="F8" s="15" t="n">
        <v>222</v>
      </c>
      <c r="G8" s="15" t="inlineStr">
        <is>
          <t>显存</t>
        </is>
      </c>
      <c r="H8" s="16" t="n">
        <v>676</v>
      </c>
      <c r="I8" s="15" t="n">
        <v>76</v>
      </c>
      <c r="J8" s="15" t="inlineStr">
        <is>
          <t>11,792,820</t>
        </is>
      </c>
      <c r="K8" s="15" t="inlineStr">
        <is>
          <t>118</t>
        </is>
      </c>
      <c r="L8" s="15" t="inlineStr">
        <is>
          <t>21.2%</t>
        </is>
      </c>
      <c r="M8" s="15" t="inlineStr">
        <is>
          <t>74740</t>
        </is>
      </c>
      <c r="N8" s="15" t="inlineStr">
        <is>
          <t>1495</t>
        </is>
      </c>
      <c r="O8" s="15" t="inlineStr">
        <is>
          <t>1.90</t>
        </is>
      </c>
    </row>
    <row r="9" ht="22" customHeight="1">
      <c r="A9" s="15" t="inlineStr">
        <is>
          <t>企业专属 Premium</t>
        </is>
      </c>
      <c r="B9" s="15" t="n">
        <v>500</v>
      </c>
      <c r="C9" s="15" t="inlineStr">
        <is>
          <t>256K</t>
        </is>
      </c>
      <c r="D9" s="15" t="n">
        <v>50</v>
      </c>
      <c r="E9" s="15" t="inlineStr">
        <is>
          <t>1.2x</t>
        </is>
      </c>
      <c r="F9" s="15" t="n">
        <v>111</v>
      </c>
      <c r="G9" s="15" t="inlineStr">
        <is>
          <t>显存</t>
        </is>
      </c>
      <c r="H9" s="16" t="n">
        <v>6</v>
      </c>
      <c r="I9" s="15" t="n">
        <v>1</v>
      </c>
      <c r="J9" s="15" t="inlineStr">
        <is>
          <t>104,670</t>
        </is>
      </c>
      <c r="K9" s="15" t="inlineStr">
        <is>
          <t>209</t>
        </is>
      </c>
      <c r="L9" s="15" t="inlineStr">
        <is>
          <t>23.9%</t>
        </is>
      </c>
      <c r="M9" s="15" t="inlineStr">
        <is>
          <t>663</t>
        </is>
      </c>
      <c r="N9" s="15" t="inlineStr">
        <is>
          <t>2653</t>
        </is>
      </c>
      <c r="O9" s="15" t="inlineStr">
        <is>
          <t>1.68</t>
        </is>
      </c>
    </row>
    <row r="10" ht="22" customHeight="1">
      <c r="A10" s="15" t="inlineStr">
        <is>
          <t>轻量 chat (短上下文)</t>
        </is>
      </c>
      <c r="B10" s="15" t="n">
        <v>3000</v>
      </c>
      <c r="C10" s="15" t="inlineStr">
        <is>
          <t>32K</t>
        </is>
      </c>
      <c r="D10" s="15" t="n">
        <v>30</v>
      </c>
      <c r="E10" s="15" t="inlineStr">
        <is>
          <t>1.3x</t>
        </is>
      </c>
      <c r="F10" s="15" t="n">
        <v>581</v>
      </c>
      <c r="G10" s="15" t="inlineStr">
        <is>
          <t>算力</t>
        </is>
      </c>
      <c r="H10" s="16" t="n">
        <v>7</v>
      </c>
      <c r="I10" s="15" t="n">
        <v>1</v>
      </c>
      <c r="J10" s="15" t="inlineStr">
        <is>
          <t>122,115</t>
        </is>
      </c>
      <c r="K10" s="15" t="inlineStr">
        <is>
          <t>41</t>
        </is>
      </c>
      <c r="L10" s="15" t="inlineStr">
        <is>
          <t>73.7%</t>
        </is>
      </c>
      <c r="M10" s="15" t="inlineStr">
        <is>
          <t>774</t>
        </is>
      </c>
      <c r="N10" s="15" t="inlineStr">
        <is>
          <t>516</t>
        </is>
      </c>
      <c r="O10" s="15" t="inlineStr">
        <is>
          <t>0.55</t>
        </is>
      </c>
    </row>
    <row r="11" ht="22" customHeight="1">
      <c r="A11" s="15" t="inlineStr">
        <is>
          <t>代码助手 (长上下文)</t>
        </is>
      </c>
      <c r="B11" s="15" t="n">
        <v>1000</v>
      </c>
      <c r="C11" s="15" t="inlineStr">
        <is>
          <t>256K</t>
        </is>
      </c>
      <c r="D11" s="15" t="n">
        <v>35</v>
      </c>
      <c r="E11" s="15" t="inlineStr">
        <is>
          <t>1.2x</t>
        </is>
      </c>
      <c r="F11" s="15" t="n">
        <v>111</v>
      </c>
      <c r="G11" s="15" t="inlineStr">
        <is>
          <t>显存</t>
        </is>
      </c>
      <c r="H11" s="16" t="n">
        <v>11</v>
      </c>
      <c r="I11" s="15" t="n">
        <v>2</v>
      </c>
      <c r="J11" s="15" t="inlineStr">
        <is>
          <t>191,895</t>
        </is>
      </c>
      <c r="K11" s="15" t="inlineStr">
        <is>
          <t>192</t>
        </is>
      </c>
      <c r="L11" s="15" t="inlineStr">
        <is>
          <t>18.2%</t>
        </is>
      </c>
      <c r="M11" s="15" t="inlineStr">
        <is>
          <t>1216</t>
        </is>
      </c>
      <c r="N11" s="15" t="inlineStr">
        <is>
          <t>2432</t>
        </is>
      </c>
      <c r="O11" s="15" t="inlineStr">
        <is>
          <t>2.20</t>
        </is>
      </c>
    </row>
    <row r="12" ht="22" customHeight="1"/>
    <row r="13" ht="22" customHeight="1"/>
    <row r="14" ht="22" customHeight="1">
      <c r="A14" s="17" t="inlineStr">
        <is>
          <t>注: 服务器单价 120 万 RMB/台, 电价 0.8 元/kWh, PUE=1.3, 运维=CAPEX*5%/年. 超节点规模由会话并发+吞吐+突发三者取最大值.</t>
        </is>
      </c>
    </row>
    <row r="16">
      <c r="A16" s="17" t="inlineStr">
        <is>
          <t>场景说明: PoC=概念验证(1-2台即可) | 小规模云=初创公司/内部工具(几台) | 中规模=对外SaaS服务(数十台) | 大规模=头部云厂商(百台级) | DeepSeek量级=千万DAU(百台+)</t>
        </is>
      </c>
    </row>
  </sheetData>
  <mergeCells count="3">
    <mergeCell ref="A16:P16"/>
    <mergeCell ref="A1:K1"/>
    <mergeCell ref="A14:P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Continuous Batching 吞吐模型</t>
        </is>
      </c>
    </row>
    <row r="2">
      <c r="A2" s="17" t="inlineStr">
        <is>
          <t>Pipeline 效率 = B/(B+K), K=25.4. 瓶颈 chip 时间 = 37.4 us (2层 x 18.7 us).</t>
        </is>
      </c>
    </row>
    <row r="4">
      <c r="A4" s="14" t="inlineStr">
        <is>
          <t>Batch Size B</t>
        </is>
      </c>
      <c r="B4" s="14" t="inlineStr">
        <is>
          <t>Pipeline 效率</t>
        </is>
      </c>
      <c r="C4" s="14" t="inlineStr">
        <is>
          <t>总 TPS</t>
        </is>
      </c>
      <c r="D4" s="14" t="inlineStr">
        <is>
          <t>TPOT (ms)</t>
        </is>
      </c>
      <c r="E4" s="14" t="inlineStr">
        <is>
          <t>每请求 TPS</t>
        </is>
      </c>
      <c r="F4" s="14" t="inlineStr">
        <is>
          <t>DSP 利用率</t>
        </is>
      </c>
      <c r="G4" s="14" t="inlineStr">
        <is>
          <t>优于 30 tok/s?</t>
        </is>
      </c>
    </row>
    <row r="5">
      <c r="A5" s="15" t="n">
        <v>1</v>
      </c>
      <c r="B5" s="18" t="n">
        <v>0.03783319002579535</v>
      </c>
      <c r="C5" s="11" t="n">
        <v>660</v>
      </c>
      <c r="D5" s="19" t="n">
        <v>1.515151515151515</v>
      </c>
      <c r="E5" s="11" t="n">
        <v>660</v>
      </c>
      <c r="F5" s="18" t="n">
        <v>0.02228374892519346</v>
      </c>
      <c r="G5" s="16" t="inlineStr">
        <is>
          <t>YES</t>
        </is>
      </c>
    </row>
    <row r="6">
      <c r="A6" s="15" t="n">
        <v>2</v>
      </c>
      <c r="B6" s="18" t="n">
        <v>0.07290803645401822</v>
      </c>
      <c r="C6" s="11" t="n">
        <v>1271.880695940348</v>
      </c>
      <c r="D6" s="19" t="n">
        <v>1.572474530342114</v>
      </c>
      <c r="E6" s="11" t="n">
        <v>635.9403479701739</v>
      </c>
      <c r="F6" s="18" t="n">
        <v>0.04294283347141673</v>
      </c>
      <c r="G6" s="16" t="inlineStr">
        <is>
          <t>YES</t>
        </is>
      </c>
    </row>
    <row r="7">
      <c r="A7" s="15" t="n">
        <v>4</v>
      </c>
      <c r="B7" s="18" t="n">
        <v>0.1359073359073359</v>
      </c>
      <c r="C7" s="11" t="n">
        <v>2370.903474903474</v>
      </c>
      <c r="D7" s="19" t="n">
        <v>1.687120560723313</v>
      </c>
      <c r="E7" s="11" t="n">
        <v>592.7258687258686</v>
      </c>
      <c r="F7" s="18" t="n">
        <v>0.08004942084942084</v>
      </c>
      <c r="G7" s="16" t="inlineStr">
        <is>
          <t>YES</t>
        </is>
      </c>
    </row>
    <row r="8">
      <c r="A8" s="15" t="n">
        <v>8</v>
      </c>
      <c r="B8" s="18" t="n">
        <v>0.239292997960571</v>
      </c>
      <c r="C8" s="11" t="n">
        <v>4174.466349422161</v>
      </c>
      <c r="D8" s="19" t="n">
        <v>1.916412621485708</v>
      </c>
      <c r="E8" s="11" t="n">
        <v>521.8082936777702</v>
      </c>
      <c r="F8" s="18" t="n">
        <v>0.1409435757987763</v>
      </c>
      <c r="G8" s="16" t="inlineStr">
        <is>
          <t>YES</t>
        </is>
      </c>
    </row>
    <row r="9">
      <c r="A9" s="15" t="n">
        <v>16</v>
      </c>
      <c r="B9" s="18" t="n">
        <v>0.3861766319253976</v>
      </c>
      <c r="C9" s="11" t="n">
        <v>6736.851343938562</v>
      </c>
      <c r="D9" s="19" t="n">
        <v>2.374996743010501</v>
      </c>
      <c r="E9" s="11" t="n">
        <v>421.0532089961601</v>
      </c>
      <c r="F9" s="18" t="n">
        <v>0.2274580362040592</v>
      </c>
      <c r="G9" s="16" t="inlineStr">
        <is>
          <t>YES</t>
        </is>
      </c>
    </row>
    <row r="10">
      <c r="A10" s="15" t="n">
        <v>32</v>
      </c>
      <c r="B10" s="18" t="n">
        <v>0.557182429758607</v>
      </c>
      <c r="C10" s="11" t="n">
        <v>9720.0474871389</v>
      </c>
      <c r="D10" s="19" t="n">
        <v>3.292164986060085</v>
      </c>
      <c r="E10" s="11" t="n">
        <v>303.7514839730906</v>
      </c>
      <c r="F10" s="18" t="n">
        <v>0.3281804511278195</v>
      </c>
      <c r="G10" s="16" t="inlineStr">
        <is>
          <t>YES</t>
        </is>
      </c>
    </row>
    <row r="11">
      <c r="A11" s="15" t="n">
        <v>64</v>
      </c>
      <c r="B11" s="18" t="n">
        <v>0.7156289707750952</v>
      </c>
      <c r="C11" s="11" t="n">
        <v>12484.14739517154</v>
      </c>
      <c r="D11" s="19" t="n">
        <v>5.126501472159254</v>
      </c>
      <c r="E11" s="11" t="n">
        <v>195.0648030495553</v>
      </c>
      <c r="F11" s="18" t="n">
        <v>0.4215054637865311</v>
      </c>
      <c r="G11" s="16" t="inlineStr">
        <is>
          <t>YES</t>
        </is>
      </c>
    </row>
    <row r="12">
      <c r="A12" s="15" t="n">
        <v>128</v>
      </c>
      <c r="B12" s="18" t="n">
        <v>0.8342467782550733</v>
      </c>
      <c r="C12" s="11" t="n">
        <v>14553.43504665975</v>
      </c>
      <c r="D12" s="19" t="n">
        <v>8.795174444357592</v>
      </c>
      <c r="E12" s="11" t="n">
        <v>113.6987113020293</v>
      </c>
      <c r="F12" s="18" t="n">
        <v>0.4913713523922382</v>
      </c>
      <c r="G12" s="16" t="inlineStr">
        <is>
          <t>YES</t>
        </is>
      </c>
    </row>
    <row r="13">
      <c r="A13" s="15" t="n">
        <v>256</v>
      </c>
      <c r="B13" s="18" t="n">
        <v>0.9096341758862957</v>
      </c>
      <c r="C13" s="11" t="n">
        <v>15868.56819833643</v>
      </c>
      <c r="D13" s="19" t="n">
        <v>16.13252038875427</v>
      </c>
      <c r="E13" s="11" t="n">
        <v>61.98659452475167</v>
      </c>
      <c r="F13" s="18" t="n">
        <v>0.5357745295970281</v>
      </c>
      <c r="G13" s="16" t="inlineStr">
        <is>
          <t>YES</t>
        </is>
      </c>
    </row>
    <row r="18">
      <c r="A18" s="2" t="inlineStr">
        <is>
          <t>Prefill 延迟 (prefill_tps ≈ 20,300 tok/s, pipeline fill ≈ 1.2ms)</t>
        </is>
      </c>
    </row>
    <row r="20">
      <c r="A20" s="14" t="inlineStr">
        <is>
          <t>Prompt tokens</t>
        </is>
      </c>
      <c r="B20" s="14" t="inlineStr">
        <is>
          <t>Prefill (ms)</t>
        </is>
      </c>
      <c r="C20" s="14" t="inlineStr">
        <is>
          <t>+ B=16 TPOT</t>
        </is>
      </c>
      <c r="D20" s="14" t="inlineStr">
        <is>
          <t>TTFT B=16</t>
        </is>
      </c>
      <c r="E20" s="14" t="inlineStr">
        <is>
          <t>+ B=64 TPOT</t>
        </is>
      </c>
      <c r="F20" s="14" t="inlineStr">
        <is>
          <t>TTFT B=64</t>
        </is>
      </c>
      <c r="G20" s="14" t="inlineStr">
        <is>
          <t>+ B=256 TPOT</t>
        </is>
      </c>
      <c r="H20" s="14" t="inlineStr">
        <is>
          <t>TTFT B=256</t>
        </is>
      </c>
    </row>
    <row r="21">
      <c r="A21" s="11" t="n">
        <v>256</v>
      </c>
      <c r="B21" s="20" t="n">
        <v>17.83518623726517</v>
      </c>
      <c r="C21" s="20" t="n">
        <v>2.374996743010501</v>
      </c>
      <c r="D21" s="20" t="n">
        <v>20.21018298027567</v>
      </c>
      <c r="E21" s="20" t="n">
        <v>5.126501472159254</v>
      </c>
      <c r="F21" s="20" t="n">
        <v>22.96168770942442</v>
      </c>
      <c r="G21" s="20" t="n">
        <v>16.13252038875427</v>
      </c>
      <c r="H21" s="20" t="n">
        <v>33.96770662601944</v>
      </c>
    </row>
    <row r="22">
      <c r="A22" s="11" t="n">
        <v>512</v>
      </c>
      <c r="B22" s="20" t="n">
        <v>34.51097247453034</v>
      </c>
      <c r="C22" s="20" t="n">
        <v>2.374996743010501</v>
      </c>
      <c r="D22" s="20" t="n">
        <v>36.88596921754084</v>
      </c>
      <c r="E22" s="20" t="n">
        <v>5.126501472159254</v>
      </c>
      <c r="F22" s="20" t="n">
        <v>39.6374739466896</v>
      </c>
      <c r="G22" s="20" t="n">
        <v>16.13252038875427</v>
      </c>
      <c r="H22" s="20" t="n">
        <v>50.64349286328461</v>
      </c>
    </row>
    <row r="23">
      <c r="A23" s="11" t="n">
        <v>1024</v>
      </c>
      <c r="B23" s="20" t="n">
        <v>67.86254494906069</v>
      </c>
      <c r="C23" s="20" t="n">
        <v>2.374996743010501</v>
      </c>
      <c r="D23" s="20" t="n">
        <v>70.23754169207119</v>
      </c>
      <c r="E23" s="20" t="n">
        <v>5.126501472159254</v>
      </c>
      <c r="F23" s="20" t="n">
        <v>72.98904642121994</v>
      </c>
      <c r="G23" s="20" t="n">
        <v>16.13252038875427</v>
      </c>
      <c r="H23" s="20" t="n">
        <v>83.99506533781496</v>
      </c>
    </row>
    <row r="24">
      <c r="A24" s="11" t="n">
        <v>2048</v>
      </c>
      <c r="B24" s="20" t="n">
        <v>134.5656898981214</v>
      </c>
      <c r="C24" s="20" t="n">
        <v>2.374996743010501</v>
      </c>
      <c r="D24" s="20" t="n">
        <v>136.9406866411319</v>
      </c>
      <c r="E24" s="20" t="n">
        <v>5.126501472159254</v>
      </c>
      <c r="F24" s="20" t="n">
        <v>139.6921913702806</v>
      </c>
      <c r="G24" s="20" t="n">
        <v>16.13252038875427</v>
      </c>
      <c r="H24" s="20" t="n">
        <v>150.6982102868756</v>
      </c>
    </row>
    <row r="25">
      <c r="A25" s="11" t="n">
        <v>4096</v>
      </c>
      <c r="B25" s="20" t="n">
        <v>267.9719797962427</v>
      </c>
      <c r="C25" s="20" t="n">
        <v>2.374996743010501</v>
      </c>
      <c r="D25" s="20" t="n">
        <v>270.3469765392533</v>
      </c>
      <c r="E25" s="20" t="n">
        <v>5.126501472159254</v>
      </c>
      <c r="F25" s="20" t="n">
        <v>273.098481268402</v>
      </c>
      <c r="G25" s="20" t="n">
        <v>16.13252038875427</v>
      </c>
      <c r="H25" s="20" t="n">
        <v>284.104500184997</v>
      </c>
    </row>
    <row r="26">
      <c r="A26" s="11" t="n">
        <v>8192</v>
      </c>
      <c r="B26" s="20" t="n">
        <v>534.7845595924855</v>
      </c>
      <c r="C26" s="20" t="n">
        <v>2.374996743010501</v>
      </c>
      <c r="D26" s="20" t="n">
        <v>537.1595563354959</v>
      </c>
      <c r="E26" s="20" t="n">
        <v>5.126501472159254</v>
      </c>
      <c r="F26" s="20" t="n">
        <v>539.9110610646447</v>
      </c>
      <c r="G26" s="20" t="n">
        <v>16.13252038875427</v>
      </c>
      <c r="H26" s="20" t="n">
        <v>550.9170799812398</v>
      </c>
    </row>
    <row r="27">
      <c r="A27" s="11" t="n">
        <v>16384</v>
      </c>
      <c r="B27" s="20" t="n">
        <v>1068.409719184971</v>
      </c>
      <c r="C27" s="20" t="n">
        <v>2.374996743010501</v>
      </c>
      <c r="D27" s="20" t="n">
        <v>1070.784715927982</v>
      </c>
      <c r="E27" s="20" t="n">
        <v>5.126501472159254</v>
      </c>
      <c r="F27" s="20" t="n">
        <v>1073.53622065713</v>
      </c>
      <c r="G27" s="20" t="n">
        <v>16.13252038875427</v>
      </c>
      <c r="H27" s="20" t="n">
        <v>1084.542239573725</v>
      </c>
    </row>
    <row r="28">
      <c r="A28" s="11" t="n">
        <v>32768</v>
      </c>
      <c r="B28" s="20" t="n">
        <v>2135.660038369942</v>
      </c>
      <c r="C28" s="20" t="n">
        <v>2.374996743010501</v>
      </c>
      <c r="D28" s="20" t="n">
        <v>2138.035035112952</v>
      </c>
      <c r="E28" s="20" t="n">
        <v>5.126501472159254</v>
      </c>
      <c r="F28" s="20" t="n">
        <v>2140.786539842101</v>
      </c>
      <c r="G28" s="20" t="n">
        <v>16.13252038875427</v>
      </c>
      <c r="H28" s="20" t="n">
        <v>2151.792558758696</v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28" customWidth="1" min="4" max="4"/>
    <col width="20" customWidth="1" min="5" max="5"/>
  </cols>
  <sheetData>
    <row r="1" ht="22" customHeight="1">
      <c r="A1" s="1" t="inlineStr">
        <is>
          <t>FPGA 超节点 vs GPU vs NPU — 三路云服务对比</t>
        </is>
      </c>
    </row>
    <row r="2" ht="22" customHeight="1"/>
    <row r="3" ht="22" customHeight="1">
      <c r="A3" s="14" t="inlineStr">
        <is>
          <t>指标</t>
        </is>
      </c>
      <c r="B3" s="14" t="inlineStr">
        <is>
          <t>FPGA 超节点 (A7 x1024)</t>
        </is>
      </c>
      <c r="C3" s="14" t="inlineStr">
        <is>
          <t>H100 x256</t>
        </is>
      </c>
      <c r="D3" s="14" t="inlineStr">
        <is>
          <t>Ascend 950PR x256 (估)</t>
        </is>
      </c>
      <c r="E3" s="14" t="inlineStr">
        <is>
          <t>FPGA 优势</t>
        </is>
      </c>
    </row>
    <row r="4" ht="22" customHeight="1">
      <c r="A4" s="3" t="inlineStr">
        <is>
          <t>服务器形态</t>
        </is>
      </c>
      <c r="B4" s="15" t="inlineStr">
        <is>
          <t>4U, 8卡x4芯片=32 FPGA</t>
        </is>
      </c>
      <c r="C4" s="15" t="inlineStr">
        <is>
          <t>4U, 8 GPU</t>
        </is>
      </c>
      <c r="D4" s="15" t="inlineStr">
        <is>
          <t>4U, 8 NPU</t>
        </is>
      </c>
      <c r="E4" s="16" t="inlineStr">
        <is>
          <t>密度最高</t>
        </is>
      </c>
    </row>
    <row r="5" ht="22" customHeight="1">
      <c r="A5" s="3" t="inlineStr">
        <is>
          <t>芯片总数</t>
        </is>
      </c>
      <c r="B5" s="15" t="inlineStr">
        <is>
          <t>1,024 FPGA</t>
        </is>
      </c>
      <c r="C5" s="15" t="inlineStr">
        <is>
          <t>256 H100</t>
        </is>
      </c>
      <c r="D5" s="15" t="inlineStr">
        <is>
          <t>256 Ascend 950PR</t>
        </is>
      </c>
      <c r="E5" s="16" t="inlineStr">
        <is>
          <t>芯片数 4x</t>
        </is>
      </c>
    </row>
    <row r="6" ht="22" customHeight="1">
      <c r="A6" s="3" t="inlineStr">
        <is>
          <t>单芯片价格</t>
        </is>
      </c>
      <c r="B6" s="15" t="inlineStr">
        <is>
          <t>$2,500 (~RMB 18K)</t>
        </is>
      </c>
      <c r="C6" s="15" t="inlineStr">
        <is>
          <t>~$30K (~RMB 21万)</t>
        </is>
      </c>
      <c r="D6" s="15" t="inlineStr">
        <is>
          <t>~RMB 12万 (估)</t>
        </is>
      </c>
      <c r="E6" s="16" t="inlineStr">
        <is>
          <t>8.4x 更便宜 vs H100</t>
        </is>
      </c>
    </row>
    <row r="7" ht="22" customHeight="1">
      <c r="A7" s="3" t="inlineStr">
        <is>
          <t>单芯片功耗</t>
        </is>
      </c>
      <c r="B7" s="15" t="inlineStr">
        <is>
          <t>~166 W</t>
        </is>
      </c>
      <c r="C7" s="15" t="inlineStr">
        <is>
          <t>~700 W</t>
        </is>
      </c>
      <c r="D7" s="15" t="inlineStr">
        <is>
          <t>~450 W (估)</t>
        </is>
      </c>
      <c r="E7" s="16" t="inlineStr">
        <is>
          <t>2.7x 更低 vs 950PR</t>
        </is>
      </c>
    </row>
    <row r="8" ht="22" customHeight="1">
      <c r="A8" s="3" t="inlineStr">
        <is>
          <t>单芯片 HBM</t>
        </is>
      </c>
      <c r="B8" s="15" t="inlineStr">
        <is>
          <t>32 GB</t>
        </is>
      </c>
      <c r="C8" s="15" t="inlineStr">
        <is>
          <t>141 GB</t>
        </is>
      </c>
      <c r="D8" s="15" t="inlineStr">
        <is>
          <t>128 GB (估)</t>
        </is>
      </c>
      <c r="E8" s="16" t="inlineStr">
        <is>
          <t>—</t>
        </is>
      </c>
    </row>
    <row r="9" ht="22" customHeight="1">
      <c r="A9" s="3" t="inlineStr">
        <is>
          <t>HBM 带宽</t>
        </is>
      </c>
      <c r="B9" s="15" t="inlineStr">
        <is>
          <t>920 GB/s</t>
        </is>
      </c>
      <c r="C9" s="15" t="inlineStr">
        <is>
          <t>4.8 TB/s</t>
        </is>
      </c>
      <c r="D9" s="15" t="inlineStr">
        <is>
          <t>~4 TB/s (估)</t>
        </is>
      </c>
      <c r="E9" s="16" t="inlineStr">
        <is>
          <t>—</t>
        </is>
      </c>
    </row>
    <row r="10" ht="22" customHeight="1">
      <c r="A10" s="3" t="inlineStr">
        <is>
          <t>单芯片 FP8 TFLOPS (归一化)</t>
        </is>
      </c>
      <c r="B10" s="15" t="inlineStr">
        <is>
          <t>11.1 (fp4xfp8→fp8×fp8)</t>
        </is>
      </c>
      <c r="C10" s="15" t="inlineStr">
        <is>
          <t>1,979 (原生 fp8)</t>
        </is>
      </c>
      <c r="D10" s="15" t="inlineStr">
        <is>
          <t>800 (估算)</t>
        </is>
      </c>
      <c r="E10" s="16" t="inlineStr">
        <is>
          <t>H200 算力 179x</t>
        </is>
      </c>
    </row>
    <row r="11" ht="22" customHeight="1">
      <c r="A11" s="3" t="inlineStr">
        <is>
          <t>单服务器 FP8 TFLOPS</t>
        </is>
      </c>
      <c r="B11" s="15" t="inlineStr">
        <is>
          <t>354</t>
        </is>
      </c>
      <c r="C11" s="15" t="inlineStr">
        <is>
          <t>15,832</t>
        </is>
      </c>
      <c r="D11" s="15" t="inlineStr">
        <is>
          <t>6,400</t>
        </is>
      </c>
      <c r="E11" s="16" t="inlineStr">
        <is>
          <t>H200 算力 45x</t>
        </is>
      </c>
    </row>
    <row r="12" ht="22" customHeight="1">
      <c r="A12" s="3" t="inlineStr">
        <is>
          <t>带宽/算力比 (GB/s per TFLOP)</t>
        </is>
      </c>
      <c r="B12" s="15" t="inlineStr">
        <is>
          <t>83.1 (memory-bound 友好)</t>
        </is>
      </c>
      <c r="C12" s="15" t="inlineStr">
        <is>
          <t>2.4 (compute 偏重)</t>
        </is>
      </c>
      <c r="D12" s="15" t="inlineStr">
        <is>
          <t>5.0 (compute 偏重)</t>
        </is>
      </c>
      <c r="E12" s="16" t="inlineStr">
        <is>
          <t>FPGA 是 H200 的 34x</t>
        </is>
      </c>
    </row>
    <row r="13" ht="22" customHeight="1">
      <c r="A13" s="3" t="inlineStr">
        <is>
          <t>单芯片推理 tok/s</t>
        </is>
      </c>
      <c r="B13" s="15" t="inlineStr">
        <is>
          <t>545 (fp4xfp8, V4 scaled)</t>
        </is>
      </c>
      <c r="C13" s="15" t="inlineStr">
        <is>
          <t>~500 (fp8, TP=8)</t>
        </is>
      </c>
      <c r="D13" s="15" t="inlineStr">
        <is>
          <t>~312 (估, fp8)</t>
        </is>
      </c>
      <c r="E13" s="16" t="inlineStr">
        <is>
          <t>1.1-1.7x vs 竞品</t>
        </is>
      </c>
    </row>
    <row r="14" ht="22" customHeight="1">
      <c r="A14" s="3" t="inlineStr">
        <is>
          <t>单服务器吞吐</t>
        </is>
      </c>
      <c r="B14" s="15" t="inlineStr">
        <is>
          <t>17,445 tok/s (fp4xfp8, V4 Pro)</t>
        </is>
      </c>
      <c r="C14" s="15" t="inlineStr">
        <is>
          <t>~4,000 tok/s</t>
        </is>
      </c>
      <c r="D14" s="15" t="inlineStr">
        <is>
          <t>~2,500 tok/s (估)</t>
        </is>
      </c>
      <c r="E14" s="16" t="inlineStr">
        <is>
          <t>4.4-7.0x</t>
        </is>
      </c>
    </row>
    <row r="15" ht="22" customHeight="1">
      <c r="A15" s="3" t="inlineStr">
        <is>
          <t>32台总吞吐</t>
        </is>
      </c>
      <c r="B15" s="15" t="inlineStr">
        <is>
          <t>558K tok/s</t>
        </is>
      </c>
      <c r="C15" s="15" t="inlineStr">
        <is>
          <t>~128K tok/s</t>
        </is>
      </c>
      <c r="D15" s="15" t="inlineStr">
        <is>
          <t>~80K tok/s (估)</t>
        </is>
      </c>
      <c r="E15" s="16" t="inlineStr">
        <is>
          <t>4.4-7.0x</t>
        </is>
      </c>
    </row>
    <row r="16" ht="22" customHeight="1">
      <c r="A16" s="3" t="inlineStr">
        <is>
          <t>单机会话数 @256K</t>
        </is>
      </c>
      <c r="B16" s="15" t="inlineStr">
        <is>
          <t>111</t>
        </is>
      </c>
      <c r="C16" s="15" t="inlineStr">
        <is>
          <t>~40 (权重+KV争HBM)</t>
        </is>
      </c>
      <c r="D16" s="15" t="inlineStr">
        <is>
          <t>~30 (估)</t>
        </is>
      </c>
      <c r="E16" s="16" t="inlineStr">
        <is>
          <t>7.4x vs H200</t>
        </is>
      </c>
    </row>
    <row r="17" ht="22" customHeight="1">
      <c r="A17" s="3" t="inlineStr">
        <is>
          <t>每 token 延迟</t>
        </is>
      </c>
      <c r="B17" s="15" t="inlineStr">
        <is>
          <t>1.51 ms</t>
        </is>
      </c>
      <c r="C17" s="15" t="inlineStr">
        <is>
          <t>~8 ms (TP=8)</t>
        </is>
      </c>
      <c r="D17" s="15" t="inlineStr">
        <is>
          <t>~12 ms (估, TP=8)</t>
        </is>
      </c>
      <c r="E17" s="16" t="inlineStr">
        <is>
          <t>5.3x 更低 vs H200</t>
        </is>
      </c>
    </row>
    <row r="18" ht="22" customHeight="1">
      <c r="A18" s="3" t="inlineStr">
        <is>
          <t>互联需求</t>
        </is>
      </c>
      <c r="B18" s="15" t="inlineStr">
        <is>
          <t>无 (数据并行)</t>
        </is>
      </c>
      <c r="C18" s="15" t="inlineStr">
        <is>
          <t>InfiniBand NDR400</t>
        </is>
      </c>
      <c r="D18" s="15" t="inlineStr">
        <is>
          <t>HCCS + RoCE</t>
        </is>
      </c>
      <c r="E18" s="16" t="inlineStr">
        <is>
          <t>架构大幅简化</t>
        </is>
      </c>
    </row>
    <row r="19" ht="22" customHeight="1">
      <c r="A19" s="3" t="inlineStr">
        <is>
          <t>互联成本/服务器</t>
        </is>
      </c>
      <c r="B19" s="15" t="inlineStr">
        <is>
          <t>0</t>
        </is>
      </c>
      <c r="C19" s="15" t="inlineStr">
        <is>
          <t>~30万 RMB</t>
        </is>
      </c>
      <c r="D19" s="15" t="inlineStr">
        <is>
          <t>~20万 RMB (估)</t>
        </is>
      </c>
      <c r="E19" s="16" t="inlineStr">
        <is>
          <t>省数百万元</t>
        </is>
      </c>
    </row>
    <row r="20" ht="22" customHeight="1">
      <c r="A20" s="3" t="inlineStr">
        <is>
          <t>整机价格 (含交换机)</t>
        </is>
      </c>
      <c r="B20" s="15" t="inlineStr">
        <is>
          <t>RMB 100万</t>
        </is>
      </c>
      <c r="C20" s="15" t="inlineStr">
        <is>
          <t>~RMB 300万</t>
        </is>
      </c>
      <c r="D20" s="15" t="inlineStr">
        <is>
          <t>~RMB 130万 (估)</t>
        </is>
      </c>
      <c r="E20" s="16" t="inlineStr">
        <is>
          <t>1.3-3x 更便宜</t>
        </is>
      </c>
    </row>
    <row r="21" ht="22" customHeight="1">
      <c r="A21" s="3" t="inlineStr">
        <is>
          <t>每 tok/s 系统成本</t>
        </is>
      </c>
      <c r="B21" s="15" t="inlineStr">
        <is>
          <t>~57 RMB</t>
        </is>
      </c>
      <c r="C21" s="15" t="inlineStr">
        <is>
          <t>~825 RMB</t>
        </is>
      </c>
      <c r="D21" s="15" t="inlineStr">
        <is>
          <t>~600 RMB (估)</t>
        </is>
      </c>
      <c r="E21" s="16" t="inlineStr">
        <is>
          <t>14-19x 更低</t>
        </is>
      </c>
    </row>
    <row r="22" ht="22" customHeight="1">
      <c r="A22" s="3" t="inlineStr">
        <is>
          <t>模型加载方式</t>
        </is>
      </c>
      <c r="B22" s="15" t="inlineStr">
        <is>
          <t>单台完整模型 (fp4)</t>
        </is>
      </c>
      <c r="C22" s="15" t="inlineStr">
        <is>
          <t>需 TP=4 分片</t>
        </is>
      </c>
      <c r="D22" s="15" t="inlineStr">
        <is>
          <t>需 TP=4 分片 (估)</t>
        </is>
      </c>
      <c r="E22" s="16" t="inlineStr">
        <is>
          <t>架构简化</t>
        </is>
      </c>
    </row>
    <row r="23" ht="22" customHeight="1">
      <c r="A23" s="3" t="inlineStr">
        <is>
          <t>集群目的</t>
        </is>
      </c>
      <c r="B23" s="15" t="inlineStr">
        <is>
          <t>提升并发吞吐</t>
        </is>
      </c>
      <c r="C23" s="15" t="inlineStr">
        <is>
          <t>装下模型 + 吞吐</t>
        </is>
      </c>
      <c r="D23" s="15" t="inlineStr">
        <is>
          <t>装下模型 + 吞吐</t>
        </is>
      </c>
      <c r="E23" s="16" t="inlineStr">
        <is>
          <t>根本差异</t>
        </is>
      </c>
    </row>
    <row r="24" ht="22" customHeight="1">
      <c r="A24" s="3" t="inlineStr">
        <is>
          <t>供应风险</t>
        </is>
      </c>
      <c r="B24" s="15" t="inlineStr">
        <is>
          <t>国产 AGM, 可控</t>
        </is>
      </c>
      <c r="C24" s="15" t="inlineStr">
        <is>
          <t>美国出口管制</t>
        </is>
      </c>
      <c r="D24" s="15" t="inlineStr">
        <is>
          <t>国产, 供应紧张</t>
        </is>
      </c>
      <c r="E24" s="16" t="inlineStr">
        <is>
          <t>供应链安全</t>
        </is>
      </c>
    </row>
    <row r="25" ht="22" customHeight="1"/>
    <row r="26" ht="22" customHeight="1"/>
    <row r="27" ht="80" customHeight="1">
      <c r="A27" s="21" t="inlineStr">
        <is>
          <t>核心架构差异 (按重要性):
1. 专家分布: FPGA 32 chip 分担 384 experts → 每 chip 仅 0.7 GB 专家权重。GPU TP=8 → 每 GPU 125 GB → KV 可用空间差 219x
2. 算力归一化: FPGA DSP 11.07 TMACs (fp4×fp8) → 归一化 fp8×fp8 保守 5.54 TMACs → 11.07 TFLOPS (GPU 等效)。算力比 H200:FPGA = 45:1, 但带宽比仅 1.3:1 — LLM 推理是 memory-bound, 不是 compute-bound。FPGA 每 TFLOP 带宽 83 GB/s, H200 仅 2.4 GB/s
3. 确定性权重 SRAM 缓存: Attention + Shared Expert + Router (~21 MB) 在 SRAM, 不走 HBM。GPU 这些也走 HBM
4. fp4 专家权重: 33 MB/expert vs FP8 66 MB → 减半 (辅助因素, 非核心)
5. 互联: FPGA 单机可装完整模型, 不需要 InfiniBand/HCCS 数据面
A7 芯片 $2,500/片 x 32 ≈ 57.6 万芯片成本, 整机 ~100 万 RMB。H200 8-GPU ~300万, Ascend 8-NPU ~130万。</t>
        </is>
      </c>
    </row>
    <row r="28"/>
    <row r="29"/>
    <row r="31">
      <c r="A31" s="2" t="inlineStr">
        <is>
          <t>A7 FPGA 服务器成本拆解</t>
        </is>
      </c>
    </row>
    <row r="33">
      <c r="A33" s="14" t="inlineStr">
        <is>
          <t>项目</t>
        </is>
      </c>
      <c r="B33" s="14" t="inlineStr">
        <is>
          <t>单价 (RMB)</t>
        </is>
      </c>
      <c r="C33" s="14" t="inlineStr">
        <is>
          <t>数量</t>
        </is>
      </c>
      <c r="D33" s="14" t="inlineStr">
        <is>
          <t>小计 (RMB)</t>
        </is>
      </c>
      <c r="E33" s="14" t="inlineStr">
        <is>
          <t>备注</t>
        </is>
      </c>
    </row>
    <row r="34">
      <c r="A34" s="9" t="inlineStr">
        <is>
          <t>AGM 039-F (A7) 芯片</t>
        </is>
      </c>
      <c r="B34" s="15" t="inlineStr">
        <is>
          <t>$2,500 (~18K RMB)</t>
        </is>
      </c>
      <c r="C34" s="15" t="n">
        <v>32</v>
      </c>
      <c r="D34" s="22" t="inlineStr">
        <is>
          <t>576,000</t>
        </is>
      </c>
      <c r="E34" s="9" t="inlineStr">
        <is>
          <t>$2,500 x 32 = $80,000</t>
        </is>
      </c>
    </row>
    <row r="35">
      <c r="A35" s="9" t="inlineStr">
        <is>
          <t>PCB 基板 (16层, 高速)</t>
        </is>
      </c>
      <c r="B35" s="15" t="inlineStr">
        <is>
          <t>15,000</t>
        </is>
      </c>
      <c r="C35" s="15" t="n">
        <v>8</v>
      </c>
      <c r="D35" s="22" t="inlineStr">
        <is>
          <t>120,000</t>
        </is>
      </c>
      <c r="E35" s="9" t="inlineStr">
        <is>
          <t>每 card 一片</t>
        </is>
      </c>
    </row>
    <row r="36">
      <c r="A36" s="9" t="inlineStr">
        <is>
          <t>C2C SerDes + 连接器</t>
        </is>
      </c>
      <c r="B36" s="15" t="inlineStr">
        <is>
          <t>5,000</t>
        </is>
      </c>
      <c r="C36" s="15" t="n">
        <v>8</v>
      </c>
      <c r="D36" s="22" t="inlineStr">
        <is>
          <t>40,000</t>
        </is>
      </c>
      <c r="E36" s="9" t="inlineStr">
        <is>
          <t>片间互联</t>
        </is>
      </c>
    </row>
    <row r="37">
      <c r="A37" s="9" t="inlineStr">
        <is>
          <t>VRM 供电模组</t>
        </is>
      </c>
      <c r="B37" s="15" t="inlineStr">
        <is>
          <t>3,000</t>
        </is>
      </c>
      <c r="C37" s="15" t="n">
        <v>8</v>
      </c>
      <c r="D37" s="22" t="inlineStr">
        <is>
          <t>24,000</t>
        </is>
      </c>
      <c r="E37" s="9" t="inlineStr">
        <is>
          <t>每 card 独立供电</t>
        </is>
      </c>
    </row>
    <row r="38">
      <c r="A38" s="9" t="inlineStr">
        <is>
          <t>散热模组 (均热板+鳍片)</t>
        </is>
      </c>
      <c r="B38" s="15" t="inlineStr">
        <is>
          <t>2,000</t>
        </is>
      </c>
      <c r="C38" s="15" t="n">
        <v>8</v>
      </c>
      <c r="D38" s="22" t="inlineStr">
        <is>
          <t>16,000</t>
        </is>
      </c>
      <c r="E38" s="9" t="inlineStr">
        <is>
          <t>被动散热</t>
        </is>
      </c>
    </row>
    <row r="39">
      <c r="A39" s="9" t="inlineStr">
        <is>
          <t>服务器平台 (CPU+BMC+DRAM+SSD)</t>
        </is>
      </c>
      <c r="B39" s="15" t="inlineStr">
        <is>
          <t>—</t>
        </is>
      </c>
      <c r="C39" s="15" t="n">
        <v>1</v>
      </c>
      <c r="D39" s="22" t="inlineStr">
        <is>
          <t>150,000</t>
        </is>
      </c>
      <c r="E39" s="9" t="inlineStr">
        <is>
          <t>Intel/AMD EPYC + 512GB</t>
        </is>
      </c>
    </row>
    <row r="40">
      <c r="A40" s="9" t="inlineStr">
        <is>
          <t>机箱 + 电源 (3+1冗余) + 风扇</t>
        </is>
      </c>
      <c r="B40" s="15" t="inlineStr">
        <is>
          <t>—</t>
        </is>
      </c>
      <c r="C40" s="15" t="n">
        <v>1</v>
      </c>
      <c r="D40" s="22" t="inlineStr">
        <is>
          <t>50,000</t>
        </is>
      </c>
      <c r="E40" s="9" t="inlineStr">
        <is>
          <t>4U, 3kW PSU</t>
        </is>
      </c>
    </row>
    <row r="41">
      <c r="A41" s="3" t="inlineStr">
        <is>
          <t>合计</t>
        </is>
      </c>
      <c r="B41" s="23" t="inlineStr">
        <is>
          <t>—</t>
        </is>
      </c>
      <c r="C41" s="23" t="inlineStr">
        <is>
          <t>—</t>
        </is>
      </c>
      <c r="D41" s="13" t="inlineStr">
        <is>
          <t>1,000,000</t>
        </is>
      </c>
      <c r="E41" s="9" t="inlineStr">
        <is>
          <t>整机成本估算</t>
        </is>
      </c>
    </row>
  </sheetData>
  <mergeCells count="3">
    <mergeCell ref="A1:E1"/>
    <mergeCell ref="A27:E29"/>
    <mergeCell ref="A31:E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1" t="inlineStr">
        <is>
          <t>模型 &amp; 硬件参考常数</t>
        </is>
      </c>
    </row>
    <row r="3">
      <c r="A3" s="2" t="inlineStr">
        <is>
          <t>DeepSeek V4 Pro 模型参数</t>
        </is>
      </c>
    </row>
    <row r="4">
      <c r="A4" s="9" t="inlineStr">
        <is>
          <t>层数</t>
        </is>
      </c>
      <c r="B4" s="15" t="n">
        <v>61</v>
      </c>
    </row>
    <row r="5">
      <c r="A5" s="9" t="inlineStr">
        <is>
          <t>隐藏维度</t>
        </is>
      </c>
      <c r="B5" s="15" t="n">
        <v>7168</v>
      </c>
    </row>
    <row r="6">
      <c r="A6" s="9" t="inlineStr">
        <is>
          <t>Expert 总数</t>
        </is>
      </c>
      <c r="B6" s="15" t="n">
        <v>384</v>
      </c>
    </row>
    <row r="7">
      <c r="A7" s="9" t="inlineStr">
        <is>
          <t>Top-K Experts</t>
        </is>
      </c>
      <c r="B7" s="15" t="n">
        <v>6</v>
      </c>
    </row>
    <row r="8">
      <c r="A8" s="9" t="inlineStr">
        <is>
          <t>MLA KV latent 维度</t>
        </is>
      </c>
      <c r="B8" s="15" t="n">
        <v>512</v>
      </c>
    </row>
    <row r="9">
      <c r="A9" s="9" t="inlineStr">
        <is>
          <t>MLA RoPE 维度</t>
        </is>
      </c>
      <c r="B9" s="15" t="n">
        <v>64</v>
      </c>
    </row>
    <row r="10">
      <c r="A10" s="9" t="inlineStr">
        <is>
          <t>KV cache 每 token 每层</t>
        </is>
      </c>
      <c r="B10" s="15" t="inlineStr">
        <is>
          <t>576 bytes (FP8)</t>
        </is>
      </c>
    </row>
    <row r="12">
      <c r="A12" s="2" t="inlineStr">
        <is>
          <t>AGM 039-F 芯片参数</t>
        </is>
      </c>
    </row>
    <row r="13">
      <c r="A13" s="9" t="inlineStr">
        <is>
          <t>DSP 数量</t>
        </is>
      </c>
      <c r="B13" s="15" t="inlineStr">
        <is>
          <t>12,300</t>
        </is>
      </c>
    </row>
    <row r="14">
      <c r="A14" s="9" t="inlineStr">
        <is>
          <t>DSP 频率</t>
        </is>
      </c>
      <c r="B14" s="15" t="inlineStr">
        <is>
          <t>450 MHz</t>
        </is>
      </c>
    </row>
    <row r="15">
      <c r="A15" s="9" t="inlineStr">
        <is>
          <t>DSP MAC/cycle (fp4xfp8 原生)</t>
        </is>
      </c>
      <c r="B15" s="15" t="n">
        <v>2</v>
      </c>
    </row>
    <row r="16">
      <c r="A16" s="9" t="inlineStr">
        <is>
          <t>fp4xfp8 TMACs (原生)</t>
        </is>
      </c>
      <c r="B16" s="15" t="inlineStr">
        <is>
          <t>11.07</t>
        </is>
      </c>
    </row>
    <row r="17">
      <c r="A17" s="9" t="inlineStr">
        <is>
          <t>fp8xfp8 MAC/cycle (归一化保守)</t>
        </is>
      </c>
      <c r="B17" s="15" t="n">
        <v>1</v>
      </c>
    </row>
    <row r="18">
      <c r="A18" s="9" t="inlineStr">
        <is>
          <t>fp8xfp8 TMACs (归一化)</t>
        </is>
      </c>
      <c r="B18" s="15" t="inlineStr">
        <is>
          <t>5.54</t>
        </is>
      </c>
    </row>
    <row r="19">
      <c r="A19" s="9" t="inlineStr">
        <is>
          <t>fp8 TFLOPS (GPU 等效)</t>
        </is>
      </c>
      <c r="B19" s="15" t="inlineStr">
        <is>
          <t>11.07</t>
        </is>
      </c>
    </row>
    <row r="20">
      <c r="A20" s="9" t="inlineStr">
        <is>
          <t>带宽/算力比</t>
        </is>
      </c>
      <c r="B20" s="15" t="inlineStr">
        <is>
          <t>83.1 GB/s per TFLOP</t>
        </is>
      </c>
    </row>
    <row r="21">
      <c r="A21" s="9" t="inlineStr">
        <is>
          <t>HBM 容量</t>
        </is>
      </c>
      <c r="B21" s="15" t="inlineStr">
        <is>
          <t>32 GB</t>
        </is>
      </c>
    </row>
    <row r="22">
      <c r="A22" s="9" t="inlineStr">
        <is>
          <t>HBM 带宽</t>
        </is>
      </c>
      <c r="B22" s="15" t="inlineStr">
        <is>
          <t>920 GB/s</t>
        </is>
      </c>
    </row>
    <row r="23">
      <c r="A23" s="9" t="inlineStr">
        <is>
          <t>SRAM (M20K+MLAB)</t>
        </is>
      </c>
      <c r="B23" s="15" t="inlineStr">
        <is>
          <t>32.5 MB</t>
        </is>
      </c>
    </row>
    <row r="25">
      <c r="A25" s="2" t="inlineStr">
        <is>
          <t>单台服务器 (8卡x4芯片=32芯片)</t>
        </is>
      </c>
    </row>
    <row r="26">
      <c r="A26" s="9" t="inlineStr">
        <is>
          <t>Pipeline 吞吐</t>
        </is>
      </c>
      <c r="B26" s="15" t="inlineStr">
        <is>
          <t>17,445 tok/s</t>
        </is>
      </c>
    </row>
    <row r="27">
      <c r="A27" s="9" t="inlineStr">
        <is>
          <t>Batch-1 延迟</t>
        </is>
      </c>
      <c r="B27" s="15" t="inlineStr">
        <is>
          <t>1509 us</t>
        </is>
      </c>
    </row>
    <row r="28">
      <c r="A28" s="9" t="inlineStr">
        <is>
          <t>Batch-1 吞吐</t>
        </is>
      </c>
      <c r="B28" s="15" t="inlineStr">
        <is>
          <t>660 tok/s</t>
        </is>
      </c>
    </row>
    <row r="29">
      <c r="A29" s="9" t="inlineStr">
        <is>
          <t>FP8 TFLOPS (归一化)</t>
        </is>
      </c>
      <c r="B29" s="15" t="inlineStr">
        <is>
          <t>354 (vs H200 8-GPU: 15,832)</t>
        </is>
      </c>
    </row>
    <row r="30">
      <c r="A30" s="9" t="inlineStr">
        <is>
          <t>带宽/算力比</t>
        </is>
      </c>
      <c r="B30" s="15" t="inlineStr">
        <is>
          <t>83.1 GB/s per TFLOP (H200: 2.4)</t>
        </is>
      </c>
    </row>
    <row r="31">
      <c r="A31" s="9" t="inlineStr">
        <is>
          <t>HBM 总量</t>
        </is>
      </c>
      <c r="B31" s="15" t="inlineStr">
        <is>
          <t>1,024 GB (1 TB)</t>
        </is>
      </c>
    </row>
    <row r="32">
      <c r="A32" s="9" t="inlineStr">
        <is>
          <t>HBM 可用于 KV cache</t>
        </is>
      </c>
      <c r="B32" s="15" t="inlineStr">
        <is>
          <t>~1002 GB</t>
        </is>
      </c>
    </row>
    <row r="33">
      <c r="A33" s="9" t="inlineStr">
        <is>
          <t>功耗</t>
        </is>
      </c>
      <c r="B33" s="15" t="inlineStr">
        <is>
          <t>5.3 kW</t>
        </is>
      </c>
    </row>
    <row r="34">
      <c r="A34" s="9" t="inlineStr">
        <is>
          <t>成本 (估算)</t>
        </is>
      </c>
      <c r="B34" s="15" t="inlineStr">
        <is>
          <t>RMB 1,000,000 (100万, 含32片A7)</t>
        </is>
      </c>
    </row>
    <row r="36">
      <c r="A36" s="2" t="inlineStr">
        <is>
          <t>经济参数</t>
        </is>
      </c>
    </row>
    <row r="37">
      <c r="A37" s="9" t="inlineStr">
        <is>
          <t>电价</t>
        </is>
      </c>
      <c r="B37" s="15" t="inlineStr">
        <is>
          <t>0.35 元/kWh (东数西算/内蒙)</t>
        </is>
      </c>
    </row>
    <row r="38">
      <c r="A38" s="9" t="inlineStr">
        <is>
          <t>PUE</t>
        </is>
      </c>
      <c r="B38" s="15" t="inlineStr">
        <is>
          <t>1.3 (风冷数据中心)</t>
        </is>
      </c>
    </row>
    <row r="39">
      <c r="A39" s="9" t="inlineStr">
        <is>
          <t>年运维费率</t>
        </is>
      </c>
      <c r="B39" s="15" t="inlineStr">
        <is>
          <t>5% CAPEX</t>
        </is>
      </c>
    </row>
    <row r="40">
      <c r="A40" s="9" t="inlineStr">
        <is>
          <t>A7 (AGM 039-F) 芯片单价</t>
        </is>
      </c>
      <c r="B40" s="15" t="inlineStr">
        <is>
          <t>RMB 18,000/片</t>
        </is>
      </c>
    </row>
    <row r="41">
      <c r="A41" s="9" t="inlineStr">
        <is>
          <t>A7 芯片成本/服务器</t>
        </is>
      </c>
      <c r="B41" s="15" t="inlineStr">
        <is>
          <t>RMB 576,000 (32片)</t>
        </is>
      </c>
    </row>
    <row r="42">
      <c r="A42" s="9" t="inlineStr">
        <is>
          <t>FPGA 云服务定价 (混合)</t>
        </is>
      </c>
      <c r="B42" s="15" t="inlineStr">
        <is>
          <t>3 RMB/百万 token (DS V4 Pro 促销 5.4, 标准 21.6)</t>
        </is>
      </c>
    </row>
    <row r="43">
      <c r="A43" s="9" t="inlineStr">
        <is>
          <t>DS V4 Pro API (标准/促销)</t>
        </is>
      </c>
      <c r="B43" s="15" t="inlineStr">
        <is>
          <t>I=12/3 O=24/6 RMB/1M (2026/04 官方)</t>
        </is>
      </c>
    </row>
    <row r="44">
      <c r="A44" s="9" t="inlineStr">
        <is>
          <t>H200 8-GPU 服务器</t>
        </is>
      </c>
      <c r="B44" s="15" t="inlineStr">
        <is>
          <t>~300 万 RMB, ~10kW, ~2,000 tok/s (DS V4 Pro 高并发)</t>
        </is>
      </c>
    </row>
    <row r="45">
      <c r="A45" s="9" t="inlineStr">
        <is>
          <t>Ascend 950PR 8-NPU 服务器 (估)</t>
        </is>
      </c>
      <c r="B45" s="15" t="inlineStr">
        <is>
          <t>~130 万 RMB, ~4kW, ~1,500 tok/s (估)</t>
        </is>
      </c>
    </row>
  </sheetData>
  <mergeCells count="5">
    <mergeCell ref="A25:C25"/>
    <mergeCell ref="A36:C36"/>
    <mergeCell ref="A1:C1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2026-05-16T02:31:01Z</dcterms:created>
  <dcterms:modified xmlns:dcterms="http://purl.org/dc/terms/" xmlns:xsi="http://www.w3.org/2001/XMLSchema-instance" xsi:type="dcterms:W3CDTF">2026-05-16T02:31:01Z</dcterms:modified>
</cp:coreProperties>
</file>